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ssumptions" sheetId="1" state="visible" r:id="rId1"/>
    <sheet name="Income" sheetId="2" state="visible" r:id="rId2"/>
    <sheet name="Expense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color rgb="001F4E9E"/>
    </font>
  </fonts>
  <fills count="3">
    <fill>
      <patternFill/>
    </fill>
    <fill>
      <patternFill patternType="gray125"/>
    </fill>
    <fill>
      <patternFill patternType="solid">
        <fgColor rgb="00FFF6D5"/>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70" customWidth="1" min="1" max="1"/>
    <col width="60" customWidth="1" min="4" max="4"/>
  </cols>
  <sheetData>
    <row r="1">
      <c r="A1" s="1" t="inlineStr">
        <is>
          <t>Assumptions</t>
        </is>
      </c>
    </row>
    <row r="2">
      <c r="A2" t="inlineStr">
        <is>
          <t>Yellow cells with blue text are inputs. Casa updates C5 each morning from Lunch Money.</t>
        </is>
      </c>
    </row>
    <row r="4">
      <c r="A4" s="2" t="inlineStr">
        <is>
          <t>Assumption</t>
        </is>
      </c>
      <c r="B4" s="2" t="inlineStr"/>
      <c r="C4" s="2" t="inlineStr">
        <is>
          <t>Value</t>
        </is>
      </c>
      <c r="D4" s="2" t="inlineStr">
        <is>
          <t>Notes</t>
        </is>
      </c>
    </row>
    <row r="5">
      <c r="A5" t="inlineStr">
        <is>
          <t>Exchange rate: primary-currency units per 1 unit of the second currency</t>
        </is>
      </c>
      <c r="C5" s="3" t="n">
        <v>0.86</v>
      </c>
      <c r="D5" t="inlineStr">
        <is>
          <t>e.g. EUR per USD. Every second-currency line converts with this.</t>
        </is>
      </c>
    </row>
    <row r="6">
      <c r="A6" t="inlineStr">
        <is>
          <t>Management fee</t>
        </is>
      </c>
      <c r="C6" s="3" t="n">
        <v>0.1</v>
      </c>
      <c r="D6" t="inlineStr">
        <is>
          <t>Used by Income rows whose Deduction says "fee".</t>
        </is>
      </c>
    </row>
    <row r="7">
      <c r="A7" t="inlineStr">
        <is>
          <t>Second currency</t>
        </is>
      </c>
      <c r="C7" s="3" t="inlineStr">
        <is>
          <t>USD</t>
        </is>
      </c>
      <c r="D7" t="inlineStr">
        <is>
          <t>The code in the Currency column that converts with C5.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28" customWidth="1" min="1" max="1"/>
    <col width="10" customWidth="1" min="2" max="2"/>
    <col width="14" customWidth="1" min="3" max="3"/>
    <col width="11" customWidth="1" min="4" max="4"/>
    <col width="14" customWidth="1" min="5" max="5"/>
    <col width="18" customWidth="1" min="6" max="6"/>
    <col width="40" customWidth="1" min="7" max="7"/>
  </cols>
  <sheetData>
    <row r="1">
      <c r="A1" s="1" t="inlineStr">
        <is>
          <t>Income (monthly)</t>
        </is>
      </c>
    </row>
    <row r="2">
      <c r="A2" t="inlineStr">
        <is>
          <t>Gross per month. Deduction is a fraction (0.25) or the word fee (Assumptions C6).</t>
        </is>
      </c>
    </row>
    <row r="4">
      <c r="A4" s="2" t="inlineStr">
        <is>
          <t>Source</t>
        </is>
      </c>
      <c r="B4" s="2" t="inlineStr">
        <is>
          <t>Currency</t>
        </is>
      </c>
      <c r="C4" s="2" t="inlineStr">
        <is>
          <t>Gross / month</t>
        </is>
      </c>
      <c r="D4" s="2" t="inlineStr">
        <is>
          <t>Deduction</t>
        </is>
      </c>
      <c r="E4" s="2" t="inlineStr">
        <is>
          <t>Net / month</t>
        </is>
      </c>
      <c r="F4" s="2" t="inlineStr">
        <is>
          <t>Net primary / month</t>
        </is>
      </c>
      <c r="G4" s="2" t="inlineStr">
        <is>
          <t>Notes</t>
        </is>
      </c>
    </row>
    <row r="5">
      <c r="A5" s="3" t="inlineStr">
        <is>
          <t>Salary (Sam)</t>
        </is>
      </c>
      <c r="B5" s="3" t="inlineStr">
        <is>
          <t>USD</t>
        </is>
      </c>
      <c r="C5" s="3" t="n">
        <v>7000</v>
      </c>
      <c r="D5" s="3" t="n">
        <v>0.25</v>
      </c>
      <c r="E5">
        <f>IF(A5="","",C5*(1-IF(ISTEXT(D5),Assumptions!$C$6,N(D5))))</f>
        <v/>
      </c>
      <c r="F5">
        <f>IF(A5="",0,E5*IF(B5=Assumptions!$C$7,Assumptions!$C$5,1))</f>
        <v/>
      </c>
      <c r="G5" t="inlineStr">
        <is>
          <t>After US tax withholding</t>
        </is>
      </c>
    </row>
    <row r="6">
      <c r="A6" s="3" t="inlineStr">
        <is>
          <t>Freelance (Alex)</t>
        </is>
      </c>
      <c r="B6" s="3" t="inlineStr">
        <is>
          <t>EUR</t>
        </is>
      </c>
      <c r="C6" s="3" t="n">
        <v>400</v>
      </c>
      <c r="D6" s="3" t="n">
        <v>0</v>
      </c>
      <c r="E6">
        <f>IF(A6="","",C6*(1-IF(ISTEXT(D6),Assumptions!$C$6,N(D6))))</f>
        <v/>
      </c>
      <c r="F6">
        <f>IF(A6="",0,E6*IF(B6=Assumptions!$C$7,Assumptions!$C$5,1))</f>
        <v/>
      </c>
      <c r="G6" t="inlineStr"/>
    </row>
    <row r="7">
      <c r="A7" s="3" t="n"/>
      <c r="B7" s="3" t="n"/>
      <c r="C7" s="3" t="n"/>
      <c r="D7" s="3" t="n"/>
      <c r="E7">
        <f>IF(A7="","",C7*(1-IF(ISTEXT(D7),Assumptions!$C$6,N(D7))))</f>
        <v/>
      </c>
      <c r="F7">
        <f>IF(A7="",0,E7*IF(B7=Assumptions!$C$7,Assumptions!$C$5,1))</f>
        <v/>
      </c>
    </row>
    <row r="8">
      <c r="A8" s="3" t="n"/>
      <c r="B8" s="3" t="n"/>
      <c r="C8" s="3" t="n"/>
      <c r="D8" s="3" t="n"/>
      <c r="E8">
        <f>IF(A8="","",C8*(1-IF(ISTEXT(D8),Assumptions!$C$6,N(D8))))</f>
        <v/>
      </c>
      <c r="F8">
        <f>IF(A8="",0,E8*IF(B8=Assumptions!$C$7,Assumptions!$C$5,1))</f>
        <v/>
      </c>
    </row>
    <row r="9">
      <c r="A9" s="3" t="n"/>
      <c r="B9" s="3" t="n"/>
      <c r="C9" s="3" t="n"/>
      <c r="D9" s="3" t="n"/>
      <c r="E9">
        <f>IF(A9="","",C9*(1-IF(ISTEXT(D9),Assumptions!$C$6,N(D9))))</f>
        <v/>
      </c>
      <c r="F9">
        <f>IF(A9="",0,E9*IF(B9=Assumptions!$C$7,Assumptions!$C$5,1))</f>
        <v/>
      </c>
    </row>
    <row r="10">
      <c r="A10" s="3" t="n"/>
      <c r="B10" s="3" t="n"/>
      <c r="C10" s="3" t="n"/>
      <c r="D10" s="3" t="n"/>
      <c r="E10">
        <f>IF(A10="","",C10*(1-IF(ISTEXT(D10),Assumptions!$C$6,N(D10))))</f>
        <v/>
      </c>
      <c r="F10">
        <f>IF(A10="",0,E10*IF(B10=Assumptions!$C$7,Assumptions!$C$5,1))</f>
        <v/>
      </c>
    </row>
    <row r="11">
      <c r="A11" s="3" t="n"/>
      <c r="B11" s="3" t="n"/>
      <c r="C11" s="3" t="n"/>
      <c r="D11" s="3" t="n"/>
      <c r="E11">
        <f>IF(A11="","",C11*(1-IF(ISTEXT(D11),Assumptions!$C$6,N(D11))))</f>
        <v/>
      </c>
      <c r="F11">
        <f>IF(A11="",0,E11*IF(B11=Assumptions!$C$7,Assumptions!$C$5,1))</f>
        <v/>
      </c>
    </row>
    <row r="12">
      <c r="A12" s="3" t="n"/>
      <c r="B12" s="3" t="n"/>
      <c r="C12" s="3" t="n"/>
      <c r="D12" s="3" t="n"/>
      <c r="E12">
        <f>IF(A12="","",C12*(1-IF(ISTEXT(D12),Assumptions!$C$6,N(D12))))</f>
        <v/>
      </c>
      <c r="F12">
        <f>IF(A12="",0,E12*IF(B12=Assumptions!$C$7,Assumptions!$C$5,1))</f>
        <v/>
      </c>
    </row>
    <row r="13">
      <c r="A13" s="3" t="n"/>
      <c r="B13" s="3" t="n"/>
      <c r="C13" s="3" t="n"/>
      <c r="D13" s="3" t="n"/>
      <c r="E13">
        <f>IF(A13="","",C13*(1-IF(ISTEXT(D13),Assumptions!$C$6,N(D13))))</f>
        <v/>
      </c>
      <c r="F13">
        <f>IF(A13="",0,E13*IF(B13=Assumptions!$C$7,Assumptions!$C$5,1))</f>
        <v/>
      </c>
    </row>
    <row r="14">
      <c r="A14" s="3" t="n"/>
      <c r="B14" s="3" t="n"/>
      <c r="C14" s="3" t="n"/>
      <c r="D14" s="3" t="n"/>
      <c r="E14">
        <f>IF(A14="","",C14*(1-IF(ISTEXT(D14),Assumptions!$C$6,N(D14))))</f>
        <v/>
      </c>
      <c r="F14">
        <f>IF(A14="",0,E14*IF(B14=Assumptions!$C$7,Assumptions!$C$5,1))</f>
        <v/>
      </c>
    </row>
    <row r="15">
      <c r="A15" s="3" t="n"/>
      <c r="B15" s="3" t="n"/>
      <c r="C15" s="3" t="n"/>
      <c r="D15" s="3" t="n"/>
      <c r="E15">
        <f>IF(A15="","",C15*(1-IF(ISTEXT(D15),Assumptions!$C$6,N(D15))))</f>
        <v/>
      </c>
      <c r="F15">
        <f>IF(A15="",0,E15*IF(B15=Assumptions!$C$7,Assumptions!$C$5,1))</f>
        <v/>
      </c>
    </row>
    <row r="16">
      <c r="A16" s="3" t="n"/>
      <c r="B16" s="3" t="n"/>
      <c r="C16" s="3" t="n"/>
      <c r="D16" s="3" t="n"/>
      <c r="E16">
        <f>IF(A16="","",C16*(1-IF(ISTEXT(D16),Assumptions!$C$6,N(D16))))</f>
        <v/>
      </c>
      <c r="F16">
        <f>IF(A16="",0,E16*IF(B16=Assumptions!$C$7,Assumptions!$C$5,1))</f>
        <v/>
      </c>
    </row>
    <row r="17">
      <c r="A17" s="3" t="n"/>
      <c r="B17" s="3" t="n"/>
      <c r="C17" s="3" t="n"/>
      <c r="D17" s="3" t="n"/>
      <c r="E17">
        <f>IF(A17="","",C17*(1-IF(ISTEXT(D17),Assumptions!$C$6,N(D17))))</f>
        <v/>
      </c>
      <c r="F17">
        <f>IF(A17="",0,E17*IF(B17=Assumptions!$C$7,Assumptions!$C$5,1))</f>
        <v/>
      </c>
    </row>
    <row r="18">
      <c r="A18" s="3" t="n"/>
      <c r="B18" s="3" t="n"/>
      <c r="C18" s="3" t="n"/>
      <c r="D18" s="3" t="n"/>
      <c r="E18">
        <f>IF(A18="","",C18*(1-IF(ISTEXT(D18),Assumptions!$C$6,N(D18))))</f>
        <v/>
      </c>
      <c r="F18">
        <f>IF(A18="",0,E18*IF(B18=Assumptions!$C$7,Assumptions!$C$5,1))</f>
        <v/>
      </c>
    </row>
    <row r="19">
      <c r="A19" s="3" t="n"/>
      <c r="B19" s="3" t="n"/>
      <c r="C19" s="3" t="n"/>
      <c r="D19" s="3" t="n"/>
      <c r="E19">
        <f>IF(A19="","",C19*(1-IF(ISTEXT(D19),Assumptions!$C$6,N(D19))))</f>
        <v/>
      </c>
      <c r="F19">
        <f>IF(A19="",0,E19*IF(B19=Assumptions!$C$7,Assumptions!$C$5,1))</f>
        <v/>
      </c>
    </row>
    <row r="20">
      <c r="A20" s="3" t="n"/>
      <c r="B20" s="3" t="n"/>
      <c r="C20" s="3" t="n"/>
      <c r="D20" s="3" t="n"/>
      <c r="E20">
        <f>IF(A20="","",C20*(1-IF(ISTEXT(D20),Assumptions!$C$6,N(D20))))</f>
        <v/>
      </c>
      <c r="F20">
        <f>IF(A20="",0,E20*IF(B20=Assumptions!$C$7,Assumptions!$C$5,1))</f>
        <v/>
      </c>
    </row>
    <row r="22">
      <c r="A22" s="2" t="inlineStr">
        <is>
          <t>Total</t>
        </is>
      </c>
      <c r="F22" s="2">
        <f>SUM(F5:F20)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3"/>
  <sheetViews>
    <sheetView workbookViewId="0">
      <selection activeCell="A1" sqref="A1"/>
    </sheetView>
  </sheetViews>
  <sheetFormatPr baseColWidth="8" defaultRowHeight="15"/>
  <cols>
    <col width="16" customWidth="1" min="1" max="1"/>
    <col width="28" customWidth="1" min="2" max="2"/>
    <col width="10" customWidth="1" min="3" max="3"/>
    <col width="10" customWidth="1" min="4" max="4"/>
    <col width="11" customWidth="1" min="5" max="5"/>
    <col width="10" customWidth="1" min="6" max="6"/>
    <col width="18" customWidth="1" min="7" max="7"/>
    <col width="14" customWidth="1" min="8" max="8"/>
    <col width="48" customWidth="1" min="9" max="9"/>
  </cols>
  <sheetData>
    <row r="1">
      <c r="A1" s="1" t="inlineStr">
        <is>
          <t>Expenses: the master list</t>
        </is>
      </c>
    </row>
    <row r="2">
      <c r="A2" t="inlineStr">
        <is>
          <t>One row per expense. Monthly lines are fixed or daily (see category_map.yaml); Annual lines land in their due month; 5-Year lines are smoothed over 60 months.</t>
        </is>
      </c>
    </row>
    <row r="4">
      <c r="A4" s="2" t="inlineStr">
        <is>
          <t>Category</t>
        </is>
      </c>
      <c r="B4" s="2" t="inlineStr">
        <is>
          <t>Item</t>
        </is>
      </c>
      <c r="C4" s="2" t="inlineStr">
        <is>
          <t>Currency</t>
        </is>
      </c>
      <c r="D4" s="2" t="inlineStr">
        <is>
          <t>Amount</t>
        </is>
      </c>
      <c r="E4" s="2" t="inlineStr">
        <is>
          <t>Frequency</t>
        </is>
      </c>
      <c r="F4" s="2" t="inlineStr">
        <is>
          <t>Due month (1–12)</t>
        </is>
      </c>
      <c r="G4" s="2" t="inlineStr">
        <is>
          <t>Monthly primary equiv.</t>
        </is>
      </c>
      <c r="H4" s="2" t="inlineStr">
        <is>
          <t>Annual primary</t>
        </is>
      </c>
      <c r="I4" s="2" t="inlineStr">
        <is>
          <t>Notes</t>
        </is>
      </c>
    </row>
    <row r="5">
      <c r="A5" s="3" t="inlineStr">
        <is>
          <t>Housing</t>
        </is>
      </c>
      <c r="B5" s="3" t="inlineStr">
        <is>
          <t>Rent</t>
        </is>
      </c>
      <c r="C5" s="3" t="inlineStr">
        <is>
          <t>EUR</t>
        </is>
      </c>
      <c r="D5" s="3" t="n">
        <v>1600</v>
      </c>
      <c r="E5" s="3" t="inlineStr">
        <is>
          <t>Monthly</t>
        </is>
      </c>
      <c r="F5" s="3" t="n"/>
      <c r="G5">
        <f>IF(B5="",0,D5*IF(C5=Assumptions!$C$7,Assumptions!$C$5,1)/IF(E5="Monthly",1,IF(E5="Annual",12,60)))</f>
        <v/>
      </c>
      <c r="H5">
        <f>G5*12</f>
        <v/>
      </c>
      <c r="I5" s="3" t="inlineStr">
        <is>
          <t>Paid around the 25th for the next month</t>
        </is>
      </c>
    </row>
    <row r="6">
      <c r="A6" s="3" t="inlineStr">
        <is>
          <t>Utilities</t>
        </is>
      </c>
      <c r="B6" s="3" t="inlineStr">
        <is>
          <t>Electricity</t>
        </is>
      </c>
      <c r="C6" s="3" t="inlineStr">
        <is>
          <t>EUR</t>
        </is>
      </c>
      <c r="D6" s="3" t="n">
        <v>90</v>
      </c>
      <c r="E6" s="3" t="inlineStr">
        <is>
          <t>Monthly</t>
        </is>
      </c>
      <c r="F6" s="3" t="n"/>
      <c r="G6">
        <f>IF(B6="",0,D6*IF(C6=Assumptions!$C$7,Assumptions!$C$5,1)/IF(E6="Monthly",1,IF(E6="Annual",12,60)))</f>
        <v/>
      </c>
      <c r="H6">
        <f>G6*12</f>
        <v/>
      </c>
      <c r="I6" s="3" t="n"/>
    </row>
    <row r="7">
      <c r="A7" s="3" t="inlineStr">
        <is>
          <t>Utilities</t>
        </is>
      </c>
      <c r="B7" s="3" t="inlineStr">
        <is>
          <t>Internet and phones</t>
        </is>
      </c>
      <c r="C7" s="3" t="inlineStr">
        <is>
          <t>EUR</t>
        </is>
      </c>
      <c r="D7" s="3" t="n">
        <v>45</v>
      </c>
      <c r="E7" s="3" t="inlineStr">
        <is>
          <t>Monthly</t>
        </is>
      </c>
      <c r="F7" s="3" t="n"/>
      <c r="G7">
        <f>IF(B7="",0,D7*IF(C7=Assumptions!$C$7,Assumptions!$C$5,1)/IF(E7="Monthly",1,IF(E7="Annual",12,60)))</f>
        <v/>
      </c>
      <c r="H7">
        <f>G7*12</f>
        <v/>
      </c>
      <c r="I7" s="3" t="n"/>
    </row>
    <row r="8">
      <c r="A8" s="3" t="inlineStr">
        <is>
          <t>Food</t>
        </is>
      </c>
      <c r="B8" s="3" t="inlineStr">
        <is>
          <t>Groceries</t>
        </is>
      </c>
      <c r="C8" s="3" t="inlineStr">
        <is>
          <t>EUR</t>
        </is>
      </c>
      <c r="D8" s="3" t="n">
        <v>700</v>
      </c>
      <c r="E8" s="3" t="inlineStr">
        <is>
          <t>Monthly</t>
        </is>
      </c>
      <c r="F8" s="3" t="n"/>
      <c r="G8">
        <f>IF(B8="",0,D8*IF(C8=Assumptions!$C$7,Assumptions!$C$5,1)/IF(E8="Monthly",1,IF(E8="Annual",12,60)))</f>
        <v/>
      </c>
      <c r="H8">
        <f>G8*12</f>
        <v/>
      </c>
      <c r="I8" s="3" t="n"/>
    </row>
    <row r="9">
      <c r="A9" s="3" t="inlineStr">
        <is>
          <t>Food</t>
        </is>
      </c>
      <c r="B9" s="3" t="inlineStr">
        <is>
          <t>Restaurants</t>
        </is>
      </c>
      <c r="C9" s="3" t="inlineStr">
        <is>
          <t>EUR</t>
        </is>
      </c>
      <c r="D9" s="3" t="n">
        <v>250</v>
      </c>
      <c r="E9" s="3" t="inlineStr">
        <is>
          <t>Monthly</t>
        </is>
      </c>
      <c r="F9" s="3" t="n"/>
      <c r="G9">
        <f>IF(B9="",0,D9*IF(C9=Assumptions!$C$7,Assumptions!$C$5,1)/IF(E9="Monthly",1,IF(E9="Annual",12,60)))</f>
        <v/>
      </c>
      <c r="H9">
        <f>G9*12</f>
        <v/>
      </c>
      <c r="I9" s="3" t="n"/>
    </row>
    <row r="10">
      <c r="A10" s="3" t="inlineStr">
        <is>
          <t>Childcare</t>
        </is>
      </c>
      <c r="B10" s="3" t="inlineStr">
        <is>
          <t>Nanny</t>
        </is>
      </c>
      <c r="C10" s="3" t="inlineStr">
        <is>
          <t>EUR</t>
        </is>
      </c>
      <c r="D10" s="3" t="n">
        <v>780</v>
      </c>
      <c r="E10" s="3" t="inlineStr">
        <is>
          <t>Monthly</t>
        </is>
      </c>
      <c r="F10" s="3" t="n"/>
      <c r="G10">
        <f>IF(B10="",0,D10*IF(C10=Assumptions!$C$7,Assumptions!$C$5,1)/IF(E10="Monthly",1,IF(E10="Annual",12,60)))</f>
        <v/>
      </c>
      <c r="H10">
        <f>G10*12</f>
        <v/>
      </c>
      <c r="I10" s="3" t="inlineStr">
        <is>
          <t>180 every Friday in cash (52 × 180 ÷ 12)</t>
        </is>
      </c>
    </row>
    <row r="11">
      <c r="A11" s="3" t="inlineStr">
        <is>
          <t>Childcare</t>
        </is>
      </c>
      <c r="B11" s="3" t="inlineStr">
        <is>
          <t>Swimming lessons</t>
        </is>
      </c>
      <c r="C11" s="3" t="inlineStr">
        <is>
          <t>EUR</t>
        </is>
      </c>
      <c r="D11" s="3" t="n">
        <v>60</v>
      </c>
      <c r="E11" s="3" t="inlineStr">
        <is>
          <t>Monthly</t>
        </is>
      </c>
      <c r="F11" s="3" t="n"/>
      <c r="G11">
        <f>IF(B11="",0,D11*IF(C11=Assumptions!$C$7,Assumptions!$C$5,1)/IF(E11="Monthly",1,IF(E11="Annual",12,60)))</f>
        <v/>
      </c>
      <c r="H11">
        <f>G11*12</f>
        <v/>
      </c>
      <c r="I11" s="3" t="n"/>
    </row>
    <row r="12">
      <c r="A12" s="3" t="inlineStr">
        <is>
          <t>Transport</t>
        </is>
      </c>
      <c r="B12" s="3" t="inlineStr">
        <is>
          <t>Transit and taxis</t>
        </is>
      </c>
      <c r="C12" s="3" t="inlineStr">
        <is>
          <t>EUR</t>
        </is>
      </c>
      <c r="D12" s="3" t="n">
        <v>120</v>
      </c>
      <c r="E12" s="3" t="inlineStr">
        <is>
          <t>Monthly</t>
        </is>
      </c>
      <c r="F12" s="3" t="n"/>
      <c r="G12">
        <f>IF(B12="",0,D12*IF(C12=Assumptions!$C$7,Assumptions!$C$5,1)/IF(E12="Monthly",1,IF(E12="Annual",12,60)))</f>
        <v/>
      </c>
      <c r="H12">
        <f>G12*12</f>
        <v/>
      </c>
      <c r="I12" s="3" t="n"/>
    </row>
    <row r="13">
      <c r="A13" s="3" t="inlineStr">
        <is>
          <t>Personal</t>
        </is>
      </c>
      <c r="B13" s="3" t="inlineStr">
        <is>
          <t>Clothes and haircuts</t>
        </is>
      </c>
      <c r="C13" s="3" t="inlineStr">
        <is>
          <t>EUR</t>
        </is>
      </c>
      <c r="D13" s="3" t="n">
        <v>150</v>
      </c>
      <c r="E13" s="3" t="inlineStr">
        <is>
          <t>Monthly</t>
        </is>
      </c>
      <c r="F13" s="3" t="n"/>
      <c r="G13">
        <f>IF(B13="",0,D13*IF(C13=Assumptions!$C$7,Assumptions!$C$5,1)/IF(E13="Monthly",1,IF(E13="Annual",12,60)))</f>
        <v/>
      </c>
      <c r="H13">
        <f>G13*12</f>
        <v/>
      </c>
      <c r="I13" s="3" t="n"/>
    </row>
    <row r="14">
      <c r="A14" s="3" t="inlineStr">
        <is>
          <t>Lifestyle</t>
        </is>
      </c>
      <c r="B14" s="3" t="inlineStr">
        <is>
          <t>Subscriptions and outings</t>
        </is>
      </c>
      <c r="C14" s="3" t="inlineStr">
        <is>
          <t>EUR</t>
        </is>
      </c>
      <c r="D14" s="3" t="n">
        <v>120</v>
      </c>
      <c r="E14" s="3" t="inlineStr">
        <is>
          <t>Monthly</t>
        </is>
      </c>
      <c r="F14" s="3" t="n"/>
      <c r="G14">
        <f>IF(B14="",0,D14*IF(C14=Assumptions!$C$7,Assumptions!$C$5,1)/IF(E14="Monthly",1,IF(E14="Annual",12,60)))</f>
        <v/>
      </c>
      <c r="H14">
        <f>G14*12</f>
        <v/>
      </c>
      <c r="I14" s="3" t="n"/>
    </row>
    <row r="15">
      <c r="A15" s="3" t="inlineStr">
        <is>
          <t>Household</t>
        </is>
      </c>
      <c r="B15" s="3" t="inlineStr">
        <is>
          <t>Household supplies</t>
        </is>
      </c>
      <c r="C15" s="3" t="inlineStr">
        <is>
          <t>EUR</t>
        </is>
      </c>
      <c r="D15" s="3" t="n">
        <v>150</v>
      </c>
      <c r="E15" s="3" t="inlineStr">
        <is>
          <t>Monthly</t>
        </is>
      </c>
      <c r="F15" s="3" t="n"/>
      <c r="G15">
        <f>IF(B15="",0,D15*IF(C15=Assumptions!$C$7,Assumptions!$C$5,1)/IF(E15="Monthly",1,IF(E15="Annual",12,60)))</f>
        <v/>
      </c>
      <c r="H15">
        <f>G15*12</f>
        <v/>
      </c>
      <c r="I15" s="3" t="n"/>
    </row>
    <row r="16">
      <c r="A16" s="3" t="inlineStr">
        <is>
          <t>Health</t>
        </is>
      </c>
      <c r="B16" s="3" t="inlineStr">
        <is>
          <t>Health insurance</t>
        </is>
      </c>
      <c r="C16" s="3" t="inlineStr">
        <is>
          <t>USD</t>
        </is>
      </c>
      <c r="D16" s="3" t="n">
        <v>320</v>
      </c>
      <c r="E16" s="3" t="inlineStr">
        <is>
          <t>Monthly</t>
        </is>
      </c>
      <c r="F16" s="3" t="n"/>
      <c r="G16">
        <f>IF(B16="",0,D16*IF(C16=Assumptions!$C$7,Assumptions!$C$5,1)/IF(E16="Monthly",1,IF(E16="Annual",12,60)))</f>
        <v/>
      </c>
      <c r="H16">
        <f>G16*12</f>
        <v/>
      </c>
      <c r="I16" s="3" t="inlineStr">
        <is>
          <t>Priced in USD</t>
        </is>
      </c>
    </row>
    <row r="17">
      <c r="A17" s="3" t="inlineStr">
        <is>
          <t>Health</t>
        </is>
      </c>
      <c r="B17" s="3" t="inlineStr">
        <is>
          <t>Dentist</t>
        </is>
      </c>
      <c r="C17" s="3" t="inlineStr">
        <is>
          <t>EUR</t>
        </is>
      </c>
      <c r="D17" s="3" t="n">
        <v>400</v>
      </c>
      <c r="E17" s="3" t="inlineStr">
        <is>
          <t>Annual</t>
        </is>
      </c>
      <c r="F17" s="3" t="n">
        <v>3</v>
      </c>
      <c r="G17">
        <f>IF(B17="",0,D17*IF(C17=Assumptions!$C$7,Assumptions!$C$5,1)/IF(E17="Monthly",1,IF(E17="Annual",12,60)))</f>
        <v/>
      </c>
      <c r="H17">
        <f>G17*12</f>
        <v/>
      </c>
      <c r="I17" s="3" t="n"/>
    </row>
    <row r="18">
      <c r="A18" s="3" t="inlineStr">
        <is>
          <t>Housing</t>
        </is>
      </c>
      <c r="B18" s="3" t="inlineStr">
        <is>
          <t>Home insurance</t>
        </is>
      </c>
      <c r="C18" s="3" t="inlineStr">
        <is>
          <t>EUR</t>
        </is>
      </c>
      <c r="D18" s="3" t="n">
        <v>350</v>
      </c>
      <c r="E18" s="3" t="inlineStr">
        <is>
          <t>Annual</t>
        </is>
      </c>
      <c r="F18" s="3" t="n">
        <v>1</v>
      </c>
      <c r="G18">
        <f>IF(B18="",0,D18*IF(C18=Assumptions!$C$7,Assumptions!$C$5,1)/IF(E18="Monthly",1,IF(E18="Annual",12,60)))</f>
        <v/>
      </c>
      <c r="H18">
        <f>G18*12</f>
        <v/>
      </c>
      <c r="I18" s="3" t="n"/>
    </row>
    <row r="19">
      <c r="A19" s="3" t="inlineStr">
        <is>
          <t>Travel</t>
        </is>
      </c>
      <c r="B19" s="3" t="inlineStr">
        <is>
          <t>Summer trip</t>
        </is>
      </c>
      <c r="C19" s="3" t="inlineStr">
        <is>
          <t>EUR</t>
        </is>
      </c>
      <c r="D19" s="3" t="n">
        <v>3000</v>
      </c>
      <c r="E19" s="3" t="inlineStr">
        <is>
          <t>Annual</t>
        </is>
      </c>
      <c r="F19" s="3" t="n">
        <v>7</v>
      </c>
      <c r="G19">
        <f>IF(B19="",0,D19*IF(C19=Assumptions!$C$7,Assumptions!$C$5,1)/IF(E19="Monthly",1,IF(E19="Annual",12,60)))</f>
        <v/>
      </c>
      <c r="H19">
        <f>G19*12</f>
        <v/>
      </c>
      <c r="I19" s="3" t="n"/>
    </row>
    <row r="20">
      <c r="A20" s="3" t="inlineStr">
        <is>
          <t>Household</t>
        </is>
      </c>
      <c r="B20" s="3" t="inlineStr">
        <is>
          <t>Replace appliances</t>
        </is>
      </c>
      <c r="C20" s="3" t="inlineStr">
        <is>
          <t>EUR</t>
        </is>
      </c>
      <c r="D20" s="3" t="n">
        <v>4000</v>
      </c>
      <c r="E20" s="3" t="inlineStr">
        <is>
          <t>5-Year</t>
        </is>
      </c>
      <c r="F20" s="3" t="n"/>
      <c r="G20">
        <f>IF(B20="",0,D20*IF(C20=Assumptions!$C$7,Assumptions!$C$5,1)/IF(E20="Monthly",1,IF(E20="Annual",12,60)))</f>
        <v/>
      </c>
      <c r="H20">
        <f>G20*12</f>
        <v/>
      </c>
      <c r="I20" s="3" t="inlineStr">
        <is>
          <t>Smoothed at 1/60 a month</t>
        </is>
      </c>
    </row>
    <row r="21">
      <c r="A21" s="3" t="n"/>
      <c r="B21" s="3" t="n"/>
      <c r="C21" s="3" t="n"/>
      <c r="D21" s="3" t="n"/>
      <c r="E21" s="3" t="n"/>
      <c r="F21" s="3" t="n"/>
      <c r="G21">
        <f>IF(B21="",0,D21*IF(C21=Assumptions!$C$7,Assumptions!$C$5,1)/IF(E21="Monthly",1,IF(E21="Annual",12,60)))</f>
        <v/>
      </c>
      <c r="H21">
        <f>G21*12</f>
        <v/>
      </c>
      <c r="I21" s="3" t="n"/>
    </row>
    <row r="22">
      <c r="A22" s="3" t="n"/>
      <c r="B22" s="3" t="n"/>
      <c r="C22" s="3" t="n"/>
      <c r="D22" s="3" t="n"/>
      <c r="E22" s="3" t="n"/>
      <c r="F22" s="3" t="n"/>
      <c r="G22">
        <f>IF(B22="",0,D22*IF(C22=Assumptions!$C$7,Assumptions!$C$5,1)/IF(E22="Monthly",1,IF(E22="Annual",12,60)))</f>
        <v/>
      </c>
      <c r="H22">
        <f>G22*12</f>
        <v/>
      </c>
      <c r="I22" s="3" t="n"/>
    </row>
    <row r="23">
      <c r="A23" s="3" t="n"/>
      <c r="B23" s="3" t="n"/>
      <c r="C23" s="3" t="n"/>
      <c r="D23" s="3" t="n"/>
      <c r="E23" s="3" t="n"/>
      <c r="F23" s="3" t="n"/>
      <c r="G23">
        <f>IF(B23="",0,D23*IF(C23=Assumptions!$C$7,Assumptions!$C$5,1)/IF(E23="Monthly",1,IF(E23="Annual",12,60)))</f>
        <v/>
      </c>
      <c r="H23">
        <f>G23*12</f>
        <v/>
      </c>
      <c r="I23" s="3" t="n"/>
    </row>
    <row r="24">
      <c r="A24" s="3" t="n"/>
      <c r="B24" s="3" t="n"/>
      <c r="C24" s="3" t="n"/>
      <c r="D24" s="3" t="n"/>
      <c r="E24" s="3" t="n"/>
      <c r="F24" s="3" t="n"/>
      <c r="G24">
        <f>IF(B24="",0,D24*IF(C24=Assumptions!$C$7,Assumptions!$C$5,1)/IF(E24="Monthly",1,IF(E24="Annual",12,60)))</f>
        <v/>
      </c>
      <c r="H24">
        <f>G24*12</f>
        <v/>
      </c>
      <c r="I24" s="3" t="n"/>
    </row>
    <row r="25">
      <c r="A25" s="3" t="n"/>
      <c r="B25" s="3" t="n"/>
      <c r="C25" s="3" t="n"/>
      <c r="D25" s="3" t="n"/>
      <c r="E25" s="3" t="n"/>
      <c r="F25" s="3" t="n"/>
      <c r="G25">
        <f>IF(B25="",0,D25*IF(C25=Assumptions!$C$7,Assumptions!$C$5,1)/IF(E25="Monthly",1,IF(E25="Annual",12,60)))</f>
        <v/>
      </c>
      <c r="H25">
        <f>G25*12</f>
        <v/>
      </c>
      <c r="I25" s="3" t="n"/>
    </row>
    <row r="26">
      <c r="A26" s="3" t="n"/>
      <c r="B26" s="3" t="n"/>
      <c r="C26" s="3" t="n"/>
      <c r="D26" s="3" t="n"/>
      <c r="E26" s="3" t="n"/>
      <c r="F26" s="3" t="n"/>
      <c r="G26">
        <f>IF(B26="",0,D26*IF(C26=Assumptions!$C$7,Assumptions!$C$5,1)/IF(E26="Monthly",1,IF(E26="Annual",12,60)))</f>
        <v/>
      </c>
      <c r="H26">
        <f>G26*12</f>
        <v/>
      </c>
      <c r="I26" s="3" t="n"/>
    </row>
    <row r="27">
      <c r="A27" s="3" t="n"/>
      <c r="B27" s="3" t="n"/>
      <c r="C27" s="3" t="n"/>
      <c r="D27" s="3" t="n"/>
      <c r="E27" s="3" t="n"/>
      <c r="F27" s="3" t="n"/>
      <c r="G27">
        <f>IF(B27="",0,D27*IF(C27=Assumptions!$C$7,Assumptions!$C$5,1)/IF(E27="Monthly",1,IF(E27="Annual",12,60)))</f>
        <v/>
      </c>
      <c r="H27">
        <f>G27*12</f>
        <v/>
      </c>
      <c r="I27" s="3" t="n"/>
    </row>
    <row r="28">
      <c r="A28" s="3" t="n"/>
      <c r="B28" s="3" t="n"/>
      <c r="C28" s="3" t="n"/>
      <c r="D28" s="3" t="n"/>
      <c r="E28" s="3" t="n"/>
      <c r="F28" s="3" t="n"/>
      <c r="G28">
        <f>IF(B28="",0,D28*IF(C28=Assumptions!$C$7,Assumptions!$C$5,1)/IF(E28="Monthly",1,IF(E28="Annual",12,60)))</f>
        <v/>
      </c>
      <c r="H28">
        <f>G28*12</f>
        <v/>
      </c>
      <c r="I28" s="3" t="n"/>
    </row>
    <row r="29">
      <c r="A29" s="3" t="n"/>
      <c r="B29" s="3" t="n"/>
      <c r="C29" s="3" t="n"/>
      <c r="D29" s="3" t="n"/>
      <c r="E29" s="3" t="n"/>
      <c r="F29" s="3" t="n"/>
      <c r="G29">
        <f>IF(B29="",0,D29*IF(C29=Assumptions!$C$7,Assumptions!$C$5,1)/IF(E29="Monthly",1,IF(E29="Annual",12,60)))</f>
        <v/>
      </c>
      <c r="H29">
        <f>G29*12</f>
        <v/>
      </c>
      <c r="I29" s="3" t="n"/>
    </row>
    <row r="30">
      <c r="A30" s="3" t="n"/>
      <c r="B30" s="3" t="n"/>
      <c r="C30" s="3" t="n"/>
      <c r="D30" s="3" t="n"/>
      <c r="E30" s="3" t="n"/>
      <c r="F30" s="3" t="n"/>
      <c r="G30">
        <f>IF(B30="",0,D30*IF(C30=Assumptions!$C$7,Assumptions!$C$5,1)/IF(E30="Monthly",1,IF(E30="Annual",12,60)))</f>
        <v/>
      </c>
      <c r="H30">
        <f>G30*12</f>
        <v/>
      </c>
      <c r="I30" s="3" t="n"/>
    </row>
    <row r="31">
      <c r="A31" s="3" t="n"/>
      <c r="B31" s="3" t="n"/>
      <c r="C31" s="3" t="n"/>
      <c r="D31" s="3" t="n"/>
      <c r="E31" s="3" t="n"/>
      <c r="F31" s="3" t="n"/>
      <c r="G31">
        <f>IF(B31="",0,D31*IF(C31=Assumptions!$C$7,Assumptions!$C$5,1)/IF(E31="Monthly",1,IF(E31="Annual",12,60)))</f>
        <v/>
      </c>
      <c r="H31">
        <f>G31*12</f>
        <v/>
      </c>
      <c r="I31" s="3" t="n"/>
    </row>
    <row r="32">
      <c r="A32" s="3" t="n"/>
      <c r="B32" s="3" t="n"/>
      <c r="C32" s="3" t="n"/>
      <c r="D32" s="3" t="n"/>
      <c r="E32" s="3" t="n"/>
      <c r="F32" s="3" t="n"/>
      <c r="G32">
        <f>IF(B32="",0,D32*IF(C32=Assumptions!$C$7,Assumptions!$C$5,1)/IF(E32="Monthly",1,IF(E32="Annual",12,60)))</f>
        <v/>
      </c>
      <c r="H32">
        <f>G32*12</f>
        <v/>
      </c>
      <c r="I32" s="3" t="n"/>
    </row>
    <row r="33">
      <c r="A33" s="3" t="n"/>
      <c r="B33" s="3" t="n"/>
      <c r="C33" s="3" t="n"/>
      <c r="D33" s="3" t="n"/>
      <c r="E33" s="3" t="n"/>
      <c r="F33" s="3" t="n"/>
      <c r="G33">
        <f>IF(B33="",0,D33*IF(C33=Assumptions!$C$7,Assumptions!$C$5,1)/IF(E33="Monthly",1,IF(E33="Annual",12,60)))</f>
        <v/>
      </c>
      <c r="H33">
        <f>G33*12</f>
        <v/>
      </c>
      <c r="I33" s="3" t="n"/>
    </row>
    <row r="34">
      <c r="A34" s="3" t="n"/>
      <c r="B34" s="3" t="n"/>
      <c r="C34" s="3" t="n"/>
      <c r="D34" s="3" t="n"/>
      <c r="E34" s="3" t="n"/>
      <c r="F34" s="3" t="n"/>
      <c r="G34">
        <f>IF(B34="",0,D34*IF(C34=Assumptions!$C$7,Assumptions!$C$5,1)/IF(E34="Monthly",1,IF(E34="Annual",12,60)))</f>
        <v/>
      </c>
      <c r="H34">
        <f>G34*12</f>
        <v/>
      </c>
      <c r="I34" s="3" t="n"/>
    </row>
    <row r="35">
      <c r="A35" s="3" t="n"/>
      <c r="B35" s="3" t="n"/>
      <c r="C35" s="3" t="n"/>
      <c r="D35" s="3" t="n"/>
      <c r="E35" s="3" t="n"/>
      <c r="F35" s="3" t="n"/>
      <c r="G35">
        <f>IF(B35="",0,D35*IF(C35=Assumptions!$C$7,Assumptions!$C$5,1)/IF(E35="Monthly",1,IF(E35="Annual",12,60)))</f>
        <v/>
      </c>
      <c r="H35">
        <f>G35*12</f>
        <v/>
      </c>
      <c r="I35" s="3" t="n"/>
    </row>
    <row r="36">
      <c r="A36" s="3" t="n"/>
      <c r="B36" s="3" t="n"/>
      <c r="C36" s="3" t="n"/>
      <c r="D36" s="3" t="n"/>
      <c r="E36" s="3" t="n"/>
      <c r="F36" s="3" t="n"/>
      <c r="G36">
        <f>IF(B36="",0,D36*IF(C36=Assumptions!$C$7,Assumptions!$C$5,1)/IF(E36="Monthly",1,IF(E36="Annual",12,60)))</f>
        <v/>
      </c>
      <c r="H36">
        <f>G36*12</f>
        <v/>
      </c>
      <c r="I36" s="3" t="n"/>
    </row>
    <row r="37">
      <c r="A37" s="3" t="n"/>
      <c r="B37" s="3" t="n"/>
      <c r="C37" s="3" t="n"/>
      <c r="D37" s="3" t="n"/>
      <c r="E37" s="3" t="n"/>
      <c r="F37" s="3" t="n"/>
      <c r="G37">
        <f>IF(B37="",0,D37*IF(C37=Assumptions!$C$7,Assumptions!$C$5,1)/IF(E37="Monthly",1,IF(E37="Annual",12,60)))</f>
        <v/>
      </c>
      <c r="H37">
        <f>G37*12</f>
        <v/>
      </c>
      <c r="I37" s="3" t="n"/>
    </row>
    <row r="38">
      <c r="A38" s="3" t="n"/>
      <c r="B38" s="3" t="n"/>
      <c r="C38" s="3" t="n"/>
      <c r="D38" s="3" t="n"/>
      <c r="E38" s="3" t="n"/>
      <c r="F38" s="3" t="n"/>
      <c r="G38">
        <f>IF(B38="",0,D38*IF(C38=Assumptions!$C$7,Assumptions!$C$5,1)/IF(E38="Monthly",1,IF(E38="Annual",12,60)))</f>
        <v/>
      </c>
      <c r="H38">
        <f>G38*12</f>
        <v/>
      </c>
      <c r="I38" s="3" t="n"/>
    </row>
    <row r="39">
      <c r="A39" s="3" t="n"/>
      <c r="B39" s="3" t="n"/>
      <c r="C39" s="3" t="n"/>
      <c r="D39" s="3" t="n"/>
      <c r="E39" s="3" t="n"/>
      <c r="F39" s="3" t="n"/>
      <c r="G39">
        <f>IF(B39="",0,D39*IF(C39=Assumptions!$C$7,Assumptions!$C$5,1)/IF(E39="Monthly",1,IF(E39="Annual",12,60)))</f>
        <v/>
      </c>
      <c r="H39">
        <f>G39*12</f>
        <v/>
      </c>
      <c r="I39" s="3" t="n"/>
    </row>
    <row r="40">
      <c r="A40" s="3" t="n"/>
      <c r="B40" s="3" t="n"/>
      <c r="C40" s="3" t="n"/>
      <c r="D40" s="3" t="n"/>
      <c r="E40" s="3" t="n"/>
      <c r="F40" s="3" t="n"/>
      <c r="G40">
        <f>IF(B40="",0,D40*IF(C40=Assumptions!$C$7,Assumptions!$C$5,1)/IF(E40="Monthly",1,IF(E40="Annual",12,60)))</f>
        <v/>
      </c>
      <c r="H40">
        <f>G40*12</f>
        <v/>
      </c>
      <c r="I40" s="3" t="n"/>
    </row>
    <row r="41">
      <c r="A41" s="3" t="n"/>
      <c r="B41" s="3" t="n"/>
      <c r="C41" s="3" t="n"/>
      <c r="D41" s="3" t="n"/>
      <c r="E41" s="3" t="n"/>
      <c r="F41" s="3" t="n"/>
      <c r="G41">
        <f>IF(B41="",0,D41*IF(C41=Assumptions!$C$7,Assumptions!$C$5,1)/IF(E41="Monthly",1,IF(E41="Annual",12,60)))</f>
        <v/>
      </c>
      <c r="H41">
        <f>G41*12</f>
        <v/>
      </c>
      <c r="I41" s="3" t="n"/>
    </row>
    <row r="42">
      <c r="A42" s="3" t="n"/>
      <c r="B42" s="3" t="n"/>
      <c r="C42" s="3" t="n"/>
      <c r="D42" s="3" t="n"/>
      <c r="E42" s="3" t="n"/>
      <c r="F42" s="3" t="n"/>
      <c r="G42">
        <f>IF(B42="",0,D42*IF(C42=Assumptions!$C$7,Assumptions!$C$5,1)/IF(E42="Monthly",1,IF(E42="Annual",12,60)))</f>
        <v/>
      </c>
      <c r="H42">
        <f>G42*12</f>
        <v/>
      </c>
      <c r="I42" s="3" t="n"/>
    </row>
    <row r="43">
      <c r="A43" s="3" t="n"/>
      <c r="B43" s="3" t="n"/>
      <c r="C43" s="3" t="n"/>
      <c r="D43" s="3" t="n"/>
      <c r="E43" s="3" t="n"/>
      <c r="F43" s="3" t="n"/>
      <c r="G43">
        <f>IF(B43="",0,D43*IF(C43=Assumptions!$C$7,Assumptions!$C$5,1)/IF(E43="Monthly",1,IF(E43="Annual",12,60)))</f>
        <v/>
      </c>
      <c r="H43">
        <f>G43*12</f>
        <v/>
      </c>
      <c r="I43" s="3" t="n"/>
    </row>
    <row r="44">
      <c r="A44" s="3" t="n"/>
      <c r="B44" s="3" t="n"/>
      <c r="C44" s="3" t="n"/>
      <c r="D44" s="3" t="n"/>
      <c r="E44" s="3" t="n"/>
      <c r="F44" s="3" t="n"/>
      <c r="G44">
        <f>IF(B44="",0,D44*IF(C44=Assumptions!$C$7,Assumptions!$C$5,1)/IF(E44="Monthly",1,IF(E44="Annual",12,60)))</f>
        <v/>
      </c>
      <c r="H44">
        <f>G44*12</f>
        <v/>
      </c>
      <c r="I44" s="3" t="n"/>
    </row>
    <row r="45">
      <c r="A45" s="3" t="n"/>
      <c r="B45" s="3" t="n"/>
      <c r="C45" s="3" t="n"/>
      <c r="D45" s="3" t="n"/>
      <c r="E45" s="3" t="n"/>
      <c r="F45" s="3" t="n"/>
      <c r="G45">
        <f>IF(B45="",0,D45*IF(C45=Assumptions!$C$7,Assumptions!$C$5,1)/IF(E45="Monthly",1,IF(E45="Annual",12,60)))</f>
        <v/>
      </c>
      <c r="H45">
        <f>G45*12</f>
        <v/>
      </c>
      <c r="I45" s="3" t="n"/>
    </row>
    <row r="46">
      <c r="A46" s="3" t="n"/>
      <c r="B46" s="3" t="n"/>
      <c r="C46" s="3" t="n"/>
      <c r="D46" s="3" t="n"/>
      <c r="E46" s="3" t="n"/>
      <c r="F46" s="3" t="n"/>
      <c r="G46">
        <f>IF(B46="",0,D46*IF(C46=Assumptions!$C$7,Assumptions!$C$5,1)/IF(E46="Monthly",1,IF(E46="Annual",12,60)))</f>
        <v/>
      </c>
      <c r="H46">
        <f>G46*12</f>
        <v/>
      </c>
      <c r="I46" s="3" t="n"/>
    </row>
    <row r="47">
      <c r="A47" s="3" t="n"/>
      <c r="B47" s="3" t="n"/>
      <c r="C47" s="3" t="n"/>
      <c r="D47" s="3" t="n"/>
      <c r="E47" s="3" t="n"/>
      <c r="F47" s="3" t="n"/>
      <c r="G47">
        <f>IF(B47="",0,D47*IF(C47=Assumptions!$C$7,Assumptions!$C$5,1)/IF(E47="Monthly",1,IF(E47="Annual",12,60)))</f>
        <v/>
      </c>
      <c r="H47">
        <f>G47*12</f>
        <v/>
      </c>
      <c r="I47" s="3" t="n"/>
    </row>
    <row r="48">
      <c r="A48" s="3" t="n"/>
      <c r="B48" s="3" t="n"/>
      <c r="C48" s="3" t="n"/>
      <c r="D48" s="3" t="n"/>
      <c r="E48" s="3" t="n"/>
      <c r="F48" s="3" t="n"/>
      <c r="G48">
        <f>IF(B48="",0,D48*IF(C48=Assumptions!$C$7,Assumptions!$C$5,1)/IF(E48="Monthly",1,IF(E48="Annual",12,60)))</f>
        <v/>
      </c>
      <c r="H48">
        <f>G48*12</f>
        <v/>
      </c>
      <c r="I48" s="3" t="n"/>
    </row>
    <row r="49">
      <c r="A49" s="3" t="n"/>
      <c r="B49" s="3" t="n"/>
      <c r="C49" s="3" t="n"/>
      <c r="D49" s="3" t="n"/>
      <c r="E49" s="3" t="n"/>
      <c r="F49" s="3" t="n"/>
      <c r="G49">
        <f>IF(B49="",0,D49*IF(C49=Assumptions!$C$7,Assumptions!$C$5,1)/IF(E49="Monthly",1,IF(E49="Annual",12,60)))</f>
        <v/>
      </c>
      <c r="H49">
        <f>G49*12</f>
        <v/>
      </c>
      <c r="I49" s="3" t="n"/>
    </row>
    <row r="50">
      <c r="A50" s="3" t="n"/>
      <c r="B50" s="3" t="n"/>
      <c r="C50" s="3" t="n"/>
      <c r="D50" s="3" t="n"/>
      <c r="E50" s="3" t="n"/>
      <c r="F50" s="3" t="n"/>
      <c r="G50">
        <f>IF(B50="",0,D50*IF(C50=Assumptions!$C$7,Assumptions!$C$5,1)/IF(E50="Monthly",1,IF(E50="Annual",12,60)))</f>
        <v/>
      </c>
      <c r="H50">
        <f>G50*12</f>
        <v/>
      </c>
      <c r="I50" s="3" t="n"/>
    </row>
    <row r="51">
      <c r="A51" s="3" t="n"/>
      <c r="B51" s="3" t="n"/>
      <c r="C51" s="3" t="n"/>
      <c r="D51" s="3" t="n"/>
      <c r="E51" s="3" t="n"/>
      <c r="F51" s="3" t="n"/>
      <c r="G51">
        <f>IF(B51="",0,D51*IF(C51=Assumptions!$C$7,Assumptions!$C$5,1)/IF(E51="Monthly",1,IF(E51="Annual",12,60)))</f>
        <v/>
      </c>
      <c r="H51">
        <f>G51*12</f>
        <v/>
      </c>
      <c r="I51" s="3" t="n"/>
    </row>
    <row r="52">
      <c r="A52" s="3" t="n"/>
      <c r="B52" s="3" t="n"/>
      <c r="C52" s="3" t="n"/>
      <c r="D52" s="3" t="n"/>
      <c r="E52" s="3" t="n"/>
      <c r="F52" s="3" t="n"/>
      <c r="G52">
        <f>IF(B52="",0,D52*IF(C52=Assumptions!$C$7,Assumptions!$C$5,1)/IF(E52="Monthly",1,IF(E52="Annual",12,60)))</f>
        <v/>
      </c>
      <c r="H52">
        <f>G52*12</f>
        <v/>
      </c>
      <c r="I52" s="3" t="n"/>
    </row>
    <row r="53">
      <c r="A53" s="3" t="n"/>
      <c r="B53" s="3" t="n"/>
      <c r="C53" s="3" t="n"/>
      <c r="D53" s="3" t="n"/>
      <c r="E53" s="3" t="n"/>
      <c r="F53" s="3" t="n"/>
      <c r="G53">
        <f>IF(B53="",0,D53*IF(C53=Assumptions!$C$7,Assumptions!$C$5,1)/IF(E53="Monthly",1,IF(E53="Annual",12,60)))</f>
        <v/>
      </c>
      <c r="H53">
        <f>G53*12</f>
        <v/>
      </c>
      <c r="I53" s="3" t="n"/>
    </row>
    <row r="54">
      <c r="A54" s="3" t="n"/>
      <c r="B54" s="3" t="n"/>
      <c r="C54" s="3" t="n"/>
      <c r="D54" s="3" t="n"/>
      <c r="E54" s="3" t="n"/>
      <c r="F54" s="3" t="n"/>
      <c r="G54">
        <f>IF(B54="",0,D54*IF(C54=Assumptions!$C$7,Assumptions!$C$5,1)/IF(E54="Monthly",1,IF(E54="Annual",12,60)))</f>
        <v/>
      </c>
      <c r="H54">
        <f>G54*12</f>
        <v/>
      </c>
      <c r="I54" s="3" t="n"/>
    </row>
    <row r="55">
      <c r="A55" s="3" t="n"/>
      <c r="B55" s="3" t="n"/>
      <c r="C55" s="3" t="n"/>
      <c r="D55" s="3" t="n"/>
      <c r="E55" s="3" t="n"/>
      <c r="F55" s="3" t="n"/>
      <c r="G55">
        <f>IF(B55="",0,D55*IF(C55=Assumptions!$C$7,Assumptions!$C$5,1)/IF(E55="Monthly",1,IF(E55="Annual",12,60)))</f>
        <v/>
      </c>
      <c r="H55">
        <f>G55*12</f>
        <v/>
      </c>
      <c r="I55" s="3" t="n"/>
    </row>
    <row r="56">
      <c r="A56" s="3" t="n"/>
      <c r="B56" s="3" t="n"/>
      <c r="C56" s="3" t="n"/>
      <c r="D56" s="3" t="n"/>
      <c r="E56" s="3" t="n"/>
      <c r="F56" s="3" t="n"/>
      <c r="G56">
        <f>IF(B56="",0,D56*IF(C56=Assumptions!$C$7,Assumptions!$C$5,1)/IF(E56="Monthly",1,IF(E56="Annual",12,60)))</f>
        <v/>
      </c>
      <c r="H56">
        <f>G56*12</f>
        <v/>
      </c>
      <c r="I56" s="3" t="n"/>
    </row>
    <row r="57">
      <c r="A57" s="3" t="n"/>
      <c r="B57" s="3" t="n"/>
      <c r="C57" s="3" t="n"/>
      <c r="D57" s="3" t="n"/>
      <c r="E57" s="3" t="n"/>
      <c r="F57" s="3" t="n"/>
      <c r="G57">
        <f>IF(B57="",0,D57*IF(C57=Assumptions!$C$7,Assumptions!$C$5,1)/IF(E57="Monthly",1,IF(E57="Annual",12,60)))</f>
        <v/>
      </c>
      <c r="H57">
        <f>G57*12</f>
        <v/>
      </c>
      <c r="I57" s="3" t="n"/>
    </row>
    <row r="58">
      <c r="A58" s="3" t="n"/>
      <c r="B58" s="3" t="n"/>
      <c r="C58" s="3" t="n"/>
      <c r="D58" s="3" t="n"/>
      <c r="E58" s="3" t="n"/>
      <c r="F58" s="3" t="n"/>
      <c r="G58">
        <f>IF(B58="",0,D58*IF(C58=Assumptions!$C$7,Assumptions!$C$5,1)/IF(E58="Monthly",1,IF(E58="Annual",12,60)))</f>
        <v/>
      </c>
      <c r="H58">
        <f>G58*12</f>
        <v/>
      </c>
      <c r="I58" s="3" t="n"/>
    </row>
    <row r="59">
      <c r="A59" s="3" t="n"/>
      <c r="B59" s="3" t="n"/>
      <c r="C59" s="3" t="n"/>
      <c r="D59" s="3" t="n"/>
      <c r="E59" s="3" t="n"/>
      <c r="F59" s="3" t="n"/>
      <c r="G59">
        <f>IF(B59="",0,D59*IF(C59=Assumptions!$C$7,Assumptions!$C$5,1)/IF(E59="Monthly",1,IF(E59="Annual",12,60)))</f>
        <v/>
      </c>
      <c r="H59">
        <f>G59*12</f>
        <v/>
      </c>
      <c r="I59" s="3" t="n"/>
    </row>
    <row r="60">
      <c r="A60" s="3" t="n"/>
      <c r="B60" s="3" t="n"/>
      <c r="C60" s="3" t="n"/>
      <c r="D60" s="3" t="n"/>
      <c r="E60" s="3" t="n"/>
      <c r="F60" s="3" t="n"/>
      <c r="G60">
        <f>IF(B60="",0,D60*IF(C60=Assumptions!$C$7,Assumptions!$C$5,1)/IF(E60="Monthly",1,IF(E60="Annual",12,60)))</f>
        <v/>
      </c>
      <c r="H60">
        <f>G60*12</f>
        <v/>
      </c>
      <c r="I60" s="3" t="n"/>
    </row>
    <row r="62">
      <c r="A62" s="2" t="inlineStr">
        <is>
          <t>Monthly lines</t>
        </is>
      </c>
      <c r="G62" s="2">
        <f>SUMIFS(G5:G60,E5:E60,"Monthly")</f>
        <v/>
      </c>
    </row>
    <row r="63">
      <c r="A63" s="2" t="inlineStr">
        <is>
          <t>Set-aside for annual and five-year lines</t>
        </is>
      </c>
      <c r="G63" s="2">
        <f>SUM(G5:G60)-G62</f>
        <v/>
      </c>
    </row>
  </sheetData>
  <dataValidations count="1">
    <dataValidation sqref="E5 E6 E7 E8 E9 E10 E11 E12 E13 E14 E15 E16 E17 E18 E19 E20 E21 E22 E23 E24 E25 E26 E27 E28 E29 E30 E31 E32 E33 E34 E35 E36 E37 E38 E39 E40 E41 E42 E43 E44 E45 E46 E47 E48 E49 E50 E51 E52 E53 E54 E55 E56 E57 E58 E59 E60" showDropDown="0" showInputMessage="0" showErrorMessage="0" allowBlank="1" type="list">
      <formula1>"Monthly,Annual,5-Year"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2026-10-10T13:03:35Z</dcterms:created>
  <dcterms:modified xsi:type="dcterms:W3CDTF">2026-10-10T13:03:35Z</dcterms:modified>
</cp:coreProperties>
</file>